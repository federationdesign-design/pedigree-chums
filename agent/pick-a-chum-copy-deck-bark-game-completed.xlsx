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29c55a6a14430c" /></Relationships>
</file>

<file path=xl/workbook.xml><?xml version="1.0" encoding="utf-8"?>
<x:workbook xmlns:x="http://schemas.openxmlformats.org/spreadsheetml/2006/main">
  <x:sheets>
    <x:sheet xmlns:r="http://schemas.openxmlformats.org/officeDocument/2006/relationships" name="How to use" sheetId="1" r:id="R11d1a0166208462c"/>
    <x:sheet xmlns:r="http://schemas.openxmlformats.org/officeDocument/2006/relationships" name="B19 and B20" sheetId="2" r:id="Re2dacf8fef7241da"/>
    <x:sheet xmlns:r="http://schemas.openxmlformats.org/officeDocument/2006/relationships" name="Game Logic" sheetId="3" r:id="R0feeab88c3884831"/>
    <x:sheet xmlns:r="http://schemas.openxmlformats.org/officeDocument/2006/relationships" name="Test Cases" sheetId="4" r:id="R8270be1b3fc64dca"/>
  </x:sheets>
</x:workbook>
</file>

<file path=xl/sharedStrings.xml><?xml version="1.0" encoding="utf-8"?>
<x:sst xmlns:x="http://schemas.openxmlformats.org/spreadsheetml/2006/main"/>
</file>

<file path=xl/styles.xml><?xml version="1.0" encoding="utf-8"?>
<x:styleSheet xmlns:x="http://schemas.openxmlformats.org/spreadsheetml/2006/main">
  <x:fonts count="18">
    <x:font>
      <x:sz val="11"/>
      <x:color theme="1"/>
      <x:name val="Calibri"/>
    </x:font>
    <x:font>
      <x:b/>
      <x:sz val="14"/>
      <x:name val="Arial"/>
    </x:font>
    <x:font>
      <x:sz val="11"/>
      <x:name val="Arial"/>
    </x:font>
    <x:font>
      <x:b/>
      <x:sz val="11"/>
      <x:name val="Arial"/>
    </x:font>
    <x:font>
      <x:i/>
      <x:sz val="10"/>
      <x:color rgb="FF555555"/>
      <x:name val="Arial"/>
    </x:font>
    <x:font>
      <x:b/>
      <x:sz val="11"/>
      <x:color rgb="FFFFFFFF"/>
      <x:name val="Arial"/>
    </x:font>
    <x:font>
      <x:b/>
      <x:sz val="15"/>
      <x:color rgb="FFFFFFFF"/>
      <x:name val="Arial"/>
    </x:font>
    <x:font>
      <x:b/>
      <x:sz val="15"/>
      <x:color rgb="FFFFFFFF"/>
      <x:name val="Calibri"/>
    </x:font>
    <x:font>
      <x:b/>
      <x:sz val="11"/>
      <x:color rgb="FF0A3A57"/>
      <x:name val="Arial"/>
    </x:font>
    <x:font>
      <x:b/>
      <x:i/>
      <x:sz val="10"/>
      <x:color rgb="FF0A3A57"/>
      <x:name val="Arial"/>
    </x:font>
    <x:font>
      <x:b/>
      <x:sz val="11"/>
      <x:color rgb="FF0A3A57"/>
      <x:name val="Calibri"/>
    </x:font>
    <x:font>
      <x:sz val="11"/>
      <x:color rgb="FF1F2937"/>
      <x:name val="Calibri"/>
    </x:font>
    <x:font>
      <x:b/>
      <x:sz val="11"/>
      <x:color rgb="FFFFFFFF"/>
      <x:name val="Calibri"/>
    </x:font>
    <x:font>
      <x:i/>
      <x:sz val="11"/>
      <x:color rgb="FF1F2937"/>
      <x:name val="Arial"/>
    </x:font>
    <x:font>
      <x:i/>
      <x:sz val="10"/>
      <x:color rgb="FF1F2937"/>
      <x:name val="Arial"/>
    </x:font>
    <x:font>
      <x:i/>
      <x:sz val="11"/>
      <x:color rgb="FF1F2937"/>
      <x:name val="Calibri"/>
    </x:font>
    <x:font>
      <x:b/>
      <x:i/>
      <x:sz val="10"/>
      <x:color rgb="FFFFFFFF"/>
      <x:name val="Arial"/>
    </x:font>
    <x:font>
      <x:b/>
      <x:sz val="11"/>
      <x:color rgb="FF1F2937"/>
      <x:name val="Calibri"/>
    </x:font>
  </x:fonts>
  <x:fills count="13">
    <x:fill>
      <x:patternFill patternType="none"/>
    </x:fill>
    <x:fill>
      <x:patternFill patternType="gray125"/>
    </x:fill>
    <x:fill>
      <x:patternFill patternType="solid">
        <x:fgColor rgb="FF0A3A57"/>
      </x:patternFill>
    </x:fill>
    <x:fill>
      <x:patternFill patternType="solid">
        <x:fgColor rgb="FFFFF2B3"/>
      </x:patternFill>
    </x:fill>
    <x:fill>
      <x:patternFill patternType="solid">
        <x:fgColor rgb="FF0A3A57"/>
      </x:patternFill>
    </x:fill>
    <x:fill>
      <x:patternFill patternType="solid">
        <x:fgColor rgb="FFDCEAF2"/>
      </x:patternFill>
    </x:fill>
    <x:fill>
      <x:patternFill patternType="solid">
        <x:fgColor rgb="FFFFFFFF"/>
      </x:patternFill>
    </x:fill>
    <x:fill>
      <x:patternFill patternType="solid">
        <x:fgColor rgb="FFF2F4F7"/>
      </x:patternFill>
    </x:fill>
    <x:fill>
      <x:patternFill patternType="solid">
        <x:fgColor rgb="FFE8EEF8"/>
      </x:patternFill>
    </x:fill>
    <x:fill>
      <x:patternFill patternType="solid">
        <x:fgColor rgb="FFFFF7D6"/>
      </x:patternFill>
    </x:fill>
    <x:fill>
      <x:patternFill patternType="solid">
        <x:fgColor rgb="FFF3E8DC"/>
      </x:patternFill>
    </x:fill>
    <x:fill>
      <x:patternFill patternType="solid">
        <x:fgColor rgb="FFF7E8F1"/>
      </x:patternFill>
    </x:fill>
    <x:fill>
      <x:patternFill patternType="solid">
        <x:fgColor rgb="FFFFF2B2"/>
      </x:patternFill>
    </x:fill>
  </x:fills>
  <x:borders count="3">
    <x:border/>
    <x:border>
      <x:left style="thin">
        <x:color rgb="FFCCCCCC"/>
      </x:left>
      <x:right style="thin">
        <x:color rgb="FFCCCCCC"/>
      </x:right>
      <x:top style="thin">
        <x:color rgb="FFCCCCCC"/>
      </x:top>
      <x:bottom style="thin">
        <x:color rgb="FFCCCCCC"/>
      </x:bottom>
    </x:border>
    <x:border/>
  </x:borders>
  <x:cellStyleXfs count="1">
    <x:xf numFmtId="0" fontId="0" fillId="0" borderId="0"/>
  </x:cellStyleXfs>
  <x:cellXfs count="115">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4" fillId="0" borderId="0" xfId="0" applyAlignment="1">
      <x:alignment vertical="top" wrapText="1"/>
    </x:xf>
    <x:xf numFmtId="0" fontId="5" fillId="2" borderId="1" xfId="0" applyAlignment="1">
      <x:alignment vertical="top" wrapText="1"/>
    </x:xf>
    <x:xf numFmtId="0" fontId="2" fillId="0" borderId="1" xfId="0" applyAlignment="1">
      <x:alignment vertical="top" wrapText="1"/>
    </x:xf>
    <x:xf numFmtId="0" fontId="4" fillId="0" borderId="1" xfId="0" applyAlignment="1">
      <x:alignment vertical="top" wrapText="1"/>
    </x:xf>
    <x:xf numFmtId="0" fontId="0" fillId="3" borderId="1" xfId="0" applyAlignment="1">
      <x:alignment vertical="top" wrapText="1"/>
    </x:xf>
    <x:xf numFmtId="0" fontId="0" fillId="0" borderId="2" xfId="0" applyNumberFormat="1" applyFont="1" applyFill="1" applyBorder="1"/>
    <x:xf numFmtId="0" fontId="1" fillId="0" borderId="2"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applyAlignment="1">
      <x:alignment vertical="top" wrapText="1"/>
    </x:xf>
    <x:xf numFmtId="0" fontId="7" fillId="4" borderId="0" xfId="0" applyNumberFormat="1" applyFont="1" applyFill="1" applyBorder="1"/>
    <x:xf numFmtId="0" fontId="7"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1" fillId="4" borderId="2" xfId="0" applyNumberFormat="1" applyFont="1" applyFill="1" applyBorder="1" applyAlignment="1">
      <x:alignment vertical="top" wrapText="1"/>
    </x:xf>
    <x:xf numFmtId="0" fontId="0" fillId="4" borderId="2" xfId="0" applyNumberFormat="1" applyFont="1" applyFill="1" applyBorder="1"/>
    <x:xf numFmtId="0" fontId="6" fillId="4" borderId="2" xfId="0" applyNumberFormat="1" applyFont="1" applyFill="1" applyBorder="1" applyAlignment="1">
      <x:alignment vertical="top" wrapText="1"/>
    </x:xf>
    <x:xf numFmtId="0" fontId="7" fillId="4" borderId="2" xfId="0" applyNumberFormat="1" applyFont="1" applyFill="1" applyBorder="1"/>
    <x:xf numFmtId="0" fontId="7" fillId="4" borderId="2" xfId="0" applyNumberFormat="1" applyFont="1" applyFill="1" applyBorder="1" applyAlignment="1">
      <x:alignment wrapText="1"/>
    </x:xf>
    <x:xf numFmtId="0" fontId="6" fillId="4" borderId="2" xfId="0" applyNumberFormat="1" applyFont="1" applyFill="1" applyBorder="1" applyAlignment="1">
      <x:alignment vertical="center" wrapText="1"/>
    </x:xf>
    <x:xf numFmtId="0" fontId="7" fillId="4" borderId="2"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2" fillId="5" borderId="2"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8" fillId="5" borderId="2" xfId="0" applyNumberFormat="1" applyFont="1" applyFill="1" applyBorder="1" applyAlignment="1">
      <x:alignment vertical="top" wrapText="1"/>
    </x:xf>
    <x:xf numFmtId="0" fontId="9" fillId="5" borderId="2"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11" fillId="6" borderId="2" xfId="0" applyNumberFormat="1" applyFont="1" applyFill="1" applyBorder="1" applyAlignment="1">
      <x:alignment vertical="top" wrapText="1"/>
    </x:xf>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horizontal="center" wrapText="1"/>
    </x:xf>
    <x:xf numFmtId="0" fontId="12" fillId="4" borderId="2" xfId="0" applyNumberFormat="1" applyFont="1" applyFill="1" applyBorder="1"/>
    <x:xf numFmtId="0" fontId="12" fillId="4" borderId="2" xfId="0" applyNumberFormat="1" applyFont="1" applyFill="1" applyBorder="1" applyAlignment="1">
      <x:alignment wrapText="1"/>
    </x:xf>
    <x:xf numFmtId="0" fontId="12" fillId="4" borderId="2" xfId="0" applyNumberFormat="1" applyFont="1" applyFill="1" applyBorder="1" applyAlignment="1">
      <x:alignment horizontal="center" wrapText="1"/>
    </x:xf>
    <x:xf numFmtId="0" fontId="5"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1" xfId="0" applyNumberFormat="1" applyFont="1" applyFill="1" applyBorder="1" applyAlignment="1">
      <x:alignment vertical="center" wrapText="1"/>
    </x:xf>
    <x:xf numFmtId="0" fontId="7" fillId="4" borderId="0" xfId="0" applyNumberFormat="1" applyFont="1" applyFill="1" applyBorder="1" applyAlignment="1">
      <x:alignment vertical="center"/>
    </x:xf>
    <x:xf numFmtId="0" fontId="7" fillId="4" borderId="2" xfId="0" applyNumberFormat="1" applyFont="1" applyFill="1" applyBorder="1" applyAlignment="1">
      <x:alignment vertical="center"/>
    </x:xf>
    <x:xf numFmtId="0" fontId="2" fillId="7"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0" xfId="0" applyNumberFormat="1" applyFont="1" applyFill="1" applyBorder="1"/>
    <x:xf numFmtId="0" fontId="13" fillId="7" borderId="1" xfId="0" applyNumberFormat="1" applyFont="1" applyFill="1" applyBorder="1" applyAlignment="1">
      <x:alignment vertical="top" wrapText="1"/>
    </x:xf>
    <x:xf numFmtId="0" fontId="14" fillId="7" borderId="1" xfId="0" applyNumberFormat="1" applyFont="1" applyFill="1" applyBorder="1" applyAlignment="1">
      <x:alignment vertical="top" wrapText="1"/>
    </x:xf>
    <x:xf numFmtId="0" fontId="15" fillId="7" borderId="1" xfId="0" applyNumberFormat="1" applyFont="1" applyFill="1" applyBorder="1" applyAlignment="1">
      <x:alignment vertical="top" wrapText="1"/>
    </x:xf>
    <x:xf numFmtId="0" fontId="15" fillId="7" borderId="0" xfId="0" applyNumberFormat="1" applyFont="1" applyFill="1" applyBorder="1"/>
    <x:xf numFmtId="0" fontId="15" fillId="7" borderId="0" xfId="0" applyNumberFormat="1" applyFont="1" applyFill="1" applyBorder="1" applyAlignment="1">
      <x:alignment wrapText="1"/>
    </x:xf>
    <x:xf numFmtId="0" fontId="13" fillId="7" borderId="1" xfId="0" applyNumberFormat="1" applyFont="1" applyFill="1" applyBorder="1" applyAlignment="1">
      <x:alignment vertical="center" wrapText="1"/>
    </x:xf>
    <x:xf numFmtId="0" fontId="14" fillId="7" borderId="1" xfId="0" applyNumberFormat="1" applyFont="1" applyFill="1" applyBorder="1" applyAlignment="1">
      <x:alignment vertical="center" wrapText="1"/>
    </x:xf>
    <x:xf numFmtId="0" fontId="15" fillId="7" borderId="1"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0" fillId="7" borderId="2" xfId="0" applyNumberFormat="1" applyFont="1" applyFill="1" applyBorder="1"/>
    <x:xf numFmtId="0" fontId="15" fillId="7" borderId="2" xfId="0" applyNumberFormat="1" applyFont="1" applyFill="1" applyBorder="1"/>
    <x:xf numFmtId="0" fontId="15" fillId="7" borderId="2" xfId="0" applyNumberFormat="1" applyFont="1" applyFill="1" applyBorder="1" applyAlignment="1">
      <x:alignment wrapText="1"/>
    </x:xf>
    <x:xf numFmtId="0" fontId="15" fillId="7" borderId="2"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16" fillId="4" borderId="1" xfId="0" applyNumberFormat="1" applyFont="1" applyFill="1" applyBorder="1" applyAlignment="1">
      <x:alignment vertical="top" wrapText="1"/>
    </x:xf>
    <x:xf numFmtId="0" fontId="12"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16" fillId="4" borderId="1" xfId="0" applyNumberFormat="1" applyFont="1" applyFill="1" applyBorder="1" applyAlignment="1">
      <x:alignment horizontal="center" vertical="top" wrapText="1"/>
    </x:xf>
    <x:xf numFmtId="0" fontId="12" fillId="4" borderId="1" xfId="0" applyNumberFormat="1" applyFont="1" applyFill="1" applyBorder="1" applyAlignment="1">
      <x:alignment horizontal="center" vertical="top" wrapText="1"/>
    </x:xf>
    <x:xf numFmtId="0" fontId="5" fillId="4" borderId="1" xfId="0" applyNumberFormat="1" applyFont="1" applyFill="1" applyBorder="1" applyAlignment="1">
      <x:alignment horizontal="center" vertical="center" wrapText="1"/>
    </x:xf>
    <x:xf numFmtId="0" fontId="16" fillId="4" borderId="1" xfId="0" applyNumberFormat="1" applyFont="1" applyFill="1" applyBorder="1" applyAlignment="1">
      <x:alignment horizontal="center" vertical="center" wrapText="1"/>
    </x:xf>
    <x:xf numFmtId="0" fontId="12" fillId="4" borderId="1" xfId="0" applyNumberFormat="1" applyFont="1" applyFill="1" applyBorder="1" applyAlignment="1">
      <x:alignment horizontal="center" vertical="center" wrapText="1"/>
    </x:xf>
    <x:xf numFmtId="0" fontId="12" fillId="4" borderId="0" xfId="0" applyNumberFormat="1" applyFont="1" applyFill="1" applyBorder="1" applyAlignment="1">
      <x:alignment horizontal="center" vertical="center" wrapText="1"/>
    </x:xf>
    <x:xf numFmtId="0" fontId="12" fillId="4" borderId="2" xfId="0" applyNumberFormat="1" applyFont="1" applyFill="1" applyBorder="1" applyAlignment="1">
      <x:alignment horizontal="center" vertical="center" wrapText="1"/>
    </x:xf>
    <x:xf numFmtId="0" fontId="2" fillId="8"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2"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2"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0" borderId="2"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1" borderId="2"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0" fillId="12" borderId="2" xfId="0" applyNumberFormat="1" applyFont="1" applyFill="1" applyBorder="1" applyAlignment="1">
      <x:alignment vertical="top" wrapText="1"/>
    </x:xf>
    <x:xf numFmtId="0" fontId="17" fillId="12" borderId="0" xfId="0" applyNumberFormat="1" applyFont="1" applyFill="1" applyBorder="1" applyAlignment="1">
      <x:alignment vertical="top" wrapText="1"/>
    </x:xf>
    <x:xf numFmtId="0" fontId="17" fillId="12" borderId="2" xfId="0" applyNumberFormat="1" applyFont="1" applyFill="1" applyBorder="1" applyAlignment="1">
      <x:alignment vertical="top" wrapText="1"/>
    </x:xf>
    <x:xf numFmtId="0" fontId="12" fillId="4" borderId="0" xfId="0" applyNumberFormat="1" applyFont="1" applyFill="1" applyBorder="1" applyAlignment="1">
      <x:alignment horizontal="center"/>
    </x:xf>
    <x:xf numFmtId="0" fontId="12" fillId="4" borderId="2" xfId="0" applyNumberFormat="1" applyFont="1" applyFill="1" applyBorder="1" applyAlignment="1">
      <x:alignment horizontal="center"/>
    </x:xf>
  </x:cellXfs>
  <x:cellStyles count="1">
    <x:cellStyle name="Normal" xfId="0"/>
  </x:cellStyles>
  <x:dxfs count="7">
    <x:dxf>
      <x:fill>
        <x:patternFill patternType="solid">
          <x:bgColor rgb="FFFCE8E6"/>
        </x:patternFill>
      </x:fill>
    </x:dxf>
    <x:dxf>
      <x:fill>
        <x:patternFill patternType="solid">
          <x:bgColor rgb="FFE8F5E9"/>
        </x:patternFill>
      </x:fill>
    </x:dxf>
    <x:dxf>
      <x:fill>
        <x:patternFill patternType="solid">
          <x:bgColor rgb="FFFFF2B2"/>
        </x:patternFill>
      </x:fill>
    </x:dxf>
    <x:dxf>
      <x:fill>
        <x:patternFill patternType="solid">
          <x:bgColor rgb="FFE8F5E9"/>
        </x:patternFill>
      </x:fill>
    </x:dxf>
    <x:dxf>
      <x:fill>
        <x:patternFill patternType="solid">
          <x:bgColor rgb="FFFCE8E6"/>
        </x:patternFill>
      </x:fill>
    </x:dxf>
    <x:dxf>
      <x:fill>
        <x:patternFill patternType="solid">
          <x:bgColor rgb="FFFDE9D9"/>
        </x:patternFill>
      </x:fill>
    </x:dxf>
    <x:dxf>
      <x:fill>
        <x:patternFill patternType="solid">
          <x:bgColor rgb="FFF2F4F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7f83ab2745f434a" /><Relationship Type="http://schemas.openxmlformats.org/officeDocument/2006/relationships/theme" Target="/xl/theme/theme1.xml" Id="R77a79c4e944848b5" /><Relationship Type="http://schemas.openxmlformats.org/officeDocument/2006/relationships/sharedStrings" Target="/xl/sharedStrings.xml" Id="R4ec521ca85bb432e" /><Relationship Type="http://schemas.openxmlformats.org/officeDocument/2006/relationships/worksheet" Target="/xl/worksheets/sheet1.xml" Id="R11d1a0166208462c" /><Relationship Type="http://schemas.openxmlformats.org/officeDocument/2006/relationships/worksheet" Target="/xl/worksheets/sheet2.xml" Id="Re2dacf8fef7241da" /><Relationship Type="http://schemas.openxmlformats.org/officeDocument/2006/relationships/worksheet" Target="/xl/worksheets/sheet3.xml" Id="R0feeab88c3884831" /><Relationship Type="http://schemas.openxmlformats.org/officeDocument/2006/relationships/worksheet" Target="/xl/worksheets/sheet4.xml" Id="R8270be1b3fc64dc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4" hidden="0" customWidth="1"/>
    <x:col min="2" max="2" width="92" hidden="0" customWidth="1"/>
  </x:cols>
  <x:sheetData>
    <x:row r="1" ht="30" customHeight="1">
      <x:c r="A1" s="23" t="str">
        <x:v>Pick a Chum copy deck: shared bark game</x:v>
      </x:c>
      <x:c r="B1" s="24"/>
    </x:row>
    <x:row r="2">
      <x:c r="A2" s="2"/>
    </x:row>
    <x:row r="3">
      <x:c r="A3" s="43" t="str">
        <x:v>Concept</x:v>
      </x:c>
      <x:c r="B3" s="54" t="str">
        <x:v>A visitor sends bark-only messages. The active dog barks back using its own bark word and returns one more bark unit than the visitor sent. After five consecutive exchanges, the dog sends its final bark volley, pauses briefly and breaks into English.</x:v>
      </x:c>
    </x:row>
    <x:row r="4">
      <x:c r="A4" s="43" t="str">
        <x:v>Game type</x:v>
      </x:c>
      <x:c r="B4" s="54" t="str">
        <x:v>A hidden conversational Easter egg, not one of the formal signature mini-games. The visitor discovers it naturally by barking at a dog.</x:v>
      </x:c>
    </x:row>
    <x:row r="5">
      <x:c r="A5" s="43" t="str">
        <x:v>Shared engine</x:v>
      </x:c>
      <x:c r="B5" s="54" t="str">
        <x:v>Use one game engine for all four dogs. Character differences live in bark presentation, B19 break copy and B20 refusal copy.</x:v>
      </x:c>
    </x:row>
    <x:row r="6">
      <x:c r="A6" s="43" t="str">
        <x:v>Per-dog completion</x:v>
      </x:c>
      <x:c r="B6" s="54" t="str">
        <x:v>The game may be completed once with each dog during the same session. Completion is stored separately for Collie, Labrador, Border Terrier and Boxer.</x:v>
      </x:c>
    </x:row>
    <x:row r="7">
      <x:c r="A7" s="43" t="str">
        <x:v>Unfinished streak</x:v>
      </x:c>
      <x:c r="B7" s="54" t="str">
        <x:v>Changing dog, closing the interaction or sending a normal non-bark message resets an unfinished streak for the active dog.</x:v>
      </x:c>
    </x:row>
    <x:row r="8">
      <x:c r="A8" s="43" t="str">
        <x:v>Completed state</x:v>
      </x:c>
      <x:c r="B8" s="54" t="str">
        <x:v>Once B19 has fired for a dog, later bark-only messages to that dog route to its B20 response pool for the rest of the session.</x:v>
      </x:c>
    </x:row>
    <x:row r="9">
      <x:c r="A9" s="43" t="str">
        <x:v>Safety</x:v>
      </x:c>
      <x:c r="B9" s="54" t="str">
        <x:v>Safety and safeguarding routes override the bark game immediately. The bark game must never block an urgent response.</x:v>
      </x:c>
    </x:row>
    <x:row r="10">
      <x:c r="A10" s="43" t="str">
        <x:v>B19 presentation</x:v>
      </x:c>
      <x:c r="B10" s="54" t="str">
        <x:v>The fifth dog bark volley and the English punchline should be two separate dog messages with a short pause of roughly 500 milliseconds.</x:v>
      </x:c>
    </x:row>
    <x:row r="11">
      <x:c r="A11" s="43" t="str">
        <x:v>B20 presentation</x:v>
      </x:c>
      <x:c r="B11" s="54" t="str">
        <x:v>Shorter than B19. The dog acknowledges the later bark but does not restart the count or repeat the full routine.</x:v>
      </x:c>
    </x:row>
    <x:row r="12">
      <x:c r="A12" s="43" t="str">
        <x:v>Copy structure</x:v>
      </x:c>
      <x:c r="B12" s="54" t="str">
        <x:v>Three B19 variants and three B20 variants per dog. Prefer unused variants before repeating.</x:v>
      </x:c>
    </x:row>
    <x:row r="13">
      <x:c r="A13" s="44" t="str">
        <x:v>Character result</x:v>
      </x:c>
      <x:c r="B13" s="54" t="str">
        <x:v>The Collie assesses it. The Labrador enjoys it. The Terrier questions it. The Boxer believes they have won it.</x:v>
      </x:c>
    </x:row>
    <x:row r="14">
      <x:c r="A14" s="45" t="str">
        <x:v>Developer sheets</x:v>
      </x:c>
      <x:c r="B14" s="54" t="str">
        <x:v>Game Logic defines detection, counting and state. B19 and B20 contains all character copy. Test Cases contains permanent automated checks.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hidden="0" customWidth="1"/>
    <x:col min="2" max="2" width="17" hidden="0" customWidth="1"/>
    <x:col min="3" max="3" width="23" hidden="0" customWidth="1"/>
    <x:col min="4" max="4" width="36" hidden="0" customWidth="1"/>
    <x:col min="5" max="5" width="34" hidden="0" customWidth="1"/>
    <x:col min="6" max="6" width="42" hidden="0" customWidth="1"/>
    <x:col min="7" max="7" width="62" hidden="0" customWidth="1"/>
  </x:cols>
  <x:sheetData>
    <x:row r="1" ht="30" customHeight="1">
      <x:c r="A1" s="65" t="str">
        <x:v>B19 and B20: four-dog bark-game copy library</x:v>
      </x:c>
      <x:c r="B1" s="65"/>
      <x:c r="C1" s="65"/>
      <x:c r="D1" s="65"/>
      <x:c r="E1" s="65"/>
      <x:c r="F1" s="66"/>
      <x:c r="G1" s="66"/>
    </x:row>
    <x:row r="2" ht="42" customHeight="1">
      <x:c r="A2" s="77" t="str">
        <x:v>B19 fires once after the fifth consecutive exchange. B20 handles later bark-only messages for that dog. The dog bark volley is generated by the shared engine; this sheet contains the English punchlines and refusals.</x:v>
      </x:c>
      <x:c r="B2" s="77"/>
      <x:c r="C2" s="78"/>
      <x:c r="D2" s="78"/>
      <x:c r="E2" s="79"/>
      <x:c r="F2" s="80"/>
      <x:c r="G2" s="80"/>
    </x:row>
    <x:row r="3">
      <x:c r="A3" s="6"/>
      <x:c r="B3" s="6"/>
      <x:c r="C3" s="7"/>
      <x:c r="D3" s="7"/>
      <x:c r="E3" s="8"/>
    </x:row>
    <x:row r="4">
      <x:c r="A4" s="93" t="str">
        <x:v>Dog</x:v>
      </x:c>
      <x:c r="B4" s="93" t="str">
        <x:v>Row ID</x:v>
      </x:c>
      <x:c r="C4" s="94" t="str">
        <x:v>Family</x:v>
      </x:c>
      <x:c r="D4" s="94" t="str">
        <x:v>When it fires</x:v>
      </x:c>
      <x:c r="E4" s="95" t="str">
        <x:v>Bark presentation</x:v>
      </x:c>
      <x:c r="F4" s="96" t="str">
        <x:v>Guidance</x:v>
      </x:c>
      <x:c r="G4" s="96" t="str">
        <x:v>FINAL LINE</x:v>
      </x:c>
    </x:row>
    <x:row r="5">
      <x:c r="A5" s="98" t="str">
        <x:v>Border Collie</x:v>
      </x:c>
      <x:c r="B5" s="98" t="str">
        <x:v>COL-B19-v1</x:v>
      </x:c>
      <x:c r="C5" s="99" t="str">
        <x:v>Break into English</x:v>
      </x:c>
      <x:c r="D5" s="99" t="str">
        <x:v>After round 5 final bark volley</x:v>
      </x:c>
      <x:c r="E5" s="100" t="str">
        <x:v>Woof. Precise and evenly spaced.</x:v>
      </x:c>
      <x:c r="F5" s="101" t="str">
        <x:v>Composed professional assessment, then return to purpose.</x:v>
      </x:c>
      <x:c r="G5" s="111" t="str">
        <x:v>Right. Form acceptable, commitment excessive, vocabulary unchanged. What did you actually want?</x:v>
      </x:c>
    </x:row>
    <x:row r="6">
      <x:c r="A6" s="98" t="str">
        <x:v>Border Collie</x:v>
      </x:c>
      <x:c r="B6" s="98" t="str">
        <x:v>COL-B19-v2</x:v>
      </x:c>
      <x:c r="C6" s="99" t="str">
        <x:v>Break into English</x:v>
      </x:c>
      <x:c r="D6" s="99" t="str">
        <x:v>After round 5 final bark volley</x:v>
      </x:c>
      <x:c r="E6" s="100" t="str">
        <x:v>Woof. Precise and evenly spaced.</x:v>
      </x:c>
      <x:c r="F6" s="101" t="str">
        <x:v>Variant. Must stand alone.</x:v>
      </x:c>
      <x:c r="G6" s="111" t="str">
        <x:v>Five rounds. Consistent delivery, limited range. We can return to the real question now.</x:v>
      </x:c>
    </x:row>
    <x:row r="7">
      <x:c r="A7" s="101" t="str">
        <x:v>Border Collie</x:v>
      </x:c>
      <x:c r="B7" s="101" t="str">
        <x:v>COL-B19-v3</x:v>
      </x:c>
      <x:c r="C7" s="101" t="str">
        <x:v>Break into English</x:v>
      </x:c>
      <x:c r="D7" s="101" t="str">
        <x:v>After round 5 final bark volley</x:v>
      </x:c>
      <x:c r="E7" s="101" t="str">
        <x:v>Woof. Precise and evenly spaced.</x:v>
      </x:c>
      <x:c r="F7" s="101" t="str">
        <x:v>Variant. Must stand alone.</x:v>
      </x:c>
      <x:c r="G7" s="111" t="str">
        <x:v>That concludes the barking assessment. You demonstrated persistence. I demonstrated restraint. What are we working on?</x:v>
      </x:c>
    </x:row>
    <x:row r="8">
      <x:c r="A8" s="101" t="str">
        <x:v>Border Collie</x:v>
      </x:c>
      <x:c r="B8" s="101" t="str">
        <x:v>COL-B20-v1</x:v>
      </x:c>
      <x:c r="C8" s="101" t="str">
        <x:v>Post-break bark</x:v>
      </x:c>
      <x:c r="D8" s="101" t="str">
        <x:v>Any later bark-only message for Collie</x:v>
      </x:c>
      <x:c r="E8" s="101" t="str">
        <x:v>No new bark volley required.</x:v>
      </x:c>
      <x:c r="F8" s="101" t="str">
        <x:v>Short, dry and final.</x:v>
      </x:c>
      <x:c r="G8" s="111" t="str">
        <x:v>Already assessed. Use words.</x:v>
      </x:c>
    </x:row>
    <x:row r="9">
      <x:c r="A9" s="101" t="str">
        <x:v>Border Collie</x:v>
      </x:c>
      <x:c r="B9" s="101" t="str">
        <x:v>COL-B20-v2</x:v>
      </x:c>
      <x:c r="C9" s="101" t="str">
        <x:v>Post-break bark</x:v>
      </x:c>
      <x:c r="D9" s="101" t="str">
        <x:v>Any later bark-only message for Collie</x:v>
      </x:c>
      <x:c r="E9" s="101" t="str">
        <x:v>No new bark volley required.</x:v>
      </x:c>
      <x:c r="F9" s="101" t="str">
        <x:v>Variant. Patience thinning.</x:v>
      </x:c>
      <x:c r="G9" s="111" t="str">
        <x:v>The barking portion is complete, our kid.</x:v>
      </x:c>
    </x:row>
    <x:row r="10">
      <x:c r="A10" s="101" t="str">
        <x:v>Border Collie</x:v>
      </x:c>
      <x:c r="B10" s="101" t="str">
        <x:v>COL-B20-v3</x:v>
      </x:c>
      <x:c r="C10" s="101" t="str">
        <x:v>Post-break bark</x:v>
      </x:c>
      <x:c r="D10" s="101" t="str">
        <x:v>Any later bark-only message for Collie</x:v>
      </x:c>
      <x:c r="E10" s="101" t="str">
        <x:v>No new bark volley required.</x:v>
      </x:c>
      <x:c r="F10" s="101" t="str">
        <x:v>Variant. Must stand alone.</x:v>
      </x:c>
      <x:c r="G10" s="111" t="str">
        <x:v>Same result as before. Your form remains adequate. Move on.</x:v>
      </x:c>
    </x:row>
    <x:row r="11">
      <x:c r="A11" s="103" t="str">
        <x:v>Labrador</x:v>
      </x:c>
      <x:c r="B11" s="103" t="str">
        <x:v>LAB-B19-v1</x:v>
      </x:c>
      <x:c r="C11" s="103" t="str">
        <x:v>Break into English</x:v>
      </x:c>
      <x:c r="D11" s="103" t="str">
        <x:v>After round 5 final bark volley</x:v>
      </x:c>
      <x:c r="E11" s="103" t="str">
        <x:v>WOOF! Cheerful and enthusiastic.</x:v>
      </x:c>
      <x:c r="F11" s="103" t="str">
        <x:v>He loved it and believes they bonded.</x:v>
      </x:c>
      <x:c r="G11" s="111" t="str">
        <x:v>That was excellent. I have no idea what we agreed, but I feel strongly that we agreed it together. What can I help with?</x:v>
      </x:c>
    </x:row>
    <x:row r="12">
      <x:c r="A12" s="103" t="str">
        <x:v>Labrador</x:v>
      </x:c>
      <x:c r="B12" s="103" t="str">
        <x:v>LAB-B19-v2</x:v>
      </x:c>
      <x:c r="C12" s="103" t="str">
        <x:v>Break into English</x:v>
      </x:c>
      <x:c r="D12" s="103" t="str">
        <x:v>After round 5 final bark volley</x:v>
      </x:c>
      <x:c r="E12" s="103" t="str">
        <x:v>WOOF! Cheerful and enthusiastic.</x:v>
      </x:c>
      <x:c r="F12" s="103" t="str">
        <x:v>Variant. Must stand alone.</x:v>
      </x:c>
      <x:c r="G12" s="111" t="str">
        <x:v>Good barking, friend. Strong rhythm, plenty of commitment and no obvious objective. Shall we try words now?</x:v>
      </x:c>
    </x:row>
    <x:row r="13">
      <x:c r="A13" s="103" t="str">
        <x:v>Labrador</x:v>
      </x:c>
      <x:c r="B13" s="103" t="str">
        <x:v>LAB-B19-v3</x:v>
      </x:c>
      <x:c r="C13" s="103" t="str">
        <x:v>Break into English</x:v>
      </x:c>
      <x:c r="D13" s="103" t="str">
        <x:v>After round 5 final bark volley</x:v>
      </x:c>
      <x:c r="E13" s="103" t="str">
        <x:v>WOOF! Cheerful and enthusiastic.</x:v>
      </x:c>
      <x:c r="F13" s="103" t="str">
        <x:v>Variant. Must stand alone.</x:v>
      </x:c>
      <x:c r="G13" s="111" t="str">
        <x:v>I enjoyed that enormously. We have established that both of us can bark. What did you actually come to ask?</x:v>
      </x:c>
    </x:row>
    <x:row r="14">
      <x:c r="A14" s="103" t="str">
        <x:v>Labrador</x:v>
      </x:c>
      <x:c r="B14" s="103" t="str">
        <x:v>LAB-B20-v1</x:v>
      </x:c>
      <x:c r="C14" s="103" t="str">
        <x:v>Post-break bark</x:v>
      </x:c>
      <x:c r="D14" s="103" t="str">
        <x:v>Any later bark-only message for Labrador</x:v>
      </x:c>
      <x:c r="E14" s="103" t="str">
        <x:v>No new bark volley required.</x:v>
      </x:c>
      <x:c r="F14" s="103" t="str">
        <x:v>Warm refusal. He would continue if allowed.</x:v>
      </x:c>
      <x:c r="G14" s="111" t="str">
        <x:v>I would happily do it again, but apparently we are using words now.</x:v>
      </x:c>
    </x:row>
    <x:row r="15">
      <x:c r="A15" s="103" t="str">
        <x:v>Labrador</x:v>
      </x:c>
      <x:c r="B15" s="103" t="str">
        <x:v>LAB-B20-v2</x:v>
      </x:c>
      <x:c r="C15" s="103" t="str">
        <x:v>Post-break bark</x:v>
      </x:c>
      <x:c r="D15" s="103" t="str">
        <x:v>Any later bark-only message for Labrador</x:v>
      </x:c>
      <x:c r="E15" s="103" t="str">
        <x:v>No new bark volley required.</x:v>
      </x:c>
      <x:c r="F15" s="103" t="str">
        <x:v>Variant. Still delighted.</x:v>
      </x:c>
      <x:c r="G15" s="111" t="str">
        <x:v>Another bark noted. Still delighted. Still not restarting.</x:v>
      </x:c>
    </x:row>
    <x:row r="16">
      <x:c r="A16" s="103" t="str">
        <x:v>Labrador</x:v>
      </x:c>
      <x:c r="B16" s="103" t="str">
        <x:v>LAB-B20-v3</x:v>
      </x:c>
      <x:c r="C16" s="103" t="str">
        <x:v>Post-break bark</x:v>
      </x:c>
      <x:c r="D16" s="103" t="str">
        <x:v>Any later bark-only message for Labrador</x:v>
      </x:c>
      <x:c r="E16" s="103" t="str">
        <x:v>No new bark volley required.</x:v>
      </x:c>
      <x:c r="F16" s="103" t="str">
        <x:v>Variant. Management has intervened.</x:v>
      </x:c>
      <x:c r="G16" s="111" t="str">
        <x:v>Very good. I heard you. The encore has been refused by management.</x:v>
      </x:c>
    </x:row>
    <x:row r="17">
      <x:c r="A17" s="105" t="str">
        <x:v>Border Terrier</x:v>
      </x:c>
      <x:c r="B17" s="105" t="str">
        <x:v>TER-B19-v1</x:v>
      </x:c>
      <x:c r="C17" s="105" t="str">
        <x:v>Break into English</x:v>
      </x:c>
      <x:c r="D17" s="105" t="str">
        <x:v>After round 5 final bark volley</x:v>
      </x:c>
      <x:c r="E17" s="105" t="str">
        <x:v>Ruff. Short and clipped.</x:v>
      </x:c>
      <x:c r="F17" s="105" t="str">
        <x:v>Treat the streak as five statements with no useful evidence.</x:v>
      </x:c>
      <x:c r="G17" s="111" t="str">
        <x:v>Right. Five statements, one word and no new evidence. What are you actually trying to tell me?</x:v>
      </x:c>
    </x:row>
    <x:row r="18">
      <x:c r="A18" s="105" t="str">
        <x:v>Border Terrier</x:v>
      </x:c>
      <x:c r="B18" s="105" t="str">
        <x:v>TER-B19-v2</x:v>
      </x:c>
      <x:c r="C18" s="105" t="str">
        <x:v>Break into English</x:v>
      </x:c>
      <x:c r="D18" s="105" t="str">
        <x:v>After round 5 final bark volley</x:v>
      </x:c>
      <x:c r="E18" s="105" t="str">
        <x:v>Ruff. Short and clipped.</x:v>
      </x:c>
      <x:c r="F18" s="105" t="str">
        <x:v>Variant. Must stand alone.</x:v>
      </x:c>
      <x:c r="G18" s="111" t="str">
        <x:v>Your consistency is noted. Your motive remains unclear. Use words.</x:v>
      </x:c>
    </x:row>
    <x:row r="19">
      <x:c r="A19" s="105" t="str">
        <x:v>Border Terrier</x:v>
      </x:c>
      <x:c r="B19" s="105" t="str">
        <x:v>TER-B19-v3</x:v>
      </x:c>
      <x:c r="C19" s="105" t="str">
        <x:v>Break into English</x:v>
      </x:c>
      <x:c r="D19" s="105" t="str">
        <x:v>After round 5 final bark volley</x:v>
      </x:c>
      <x:c r="E19" s="105" t="str">
        <x:v>Ruff. Short and clipped.</x:v>
      </x:c>
      <x:c r="F19" s="105" t="str">
        <x:v>Variant. Must stand alone.</x:v>
      </x:c>
      <x:c r="G19" s="111" t="str">
        <x:v>Barking concluded. Repetition confirmed, meaning unproven. State the real question.</x:v>
      </x:c>
    </x:row>
    <x:row r="20">
      <x:c r="A20" s="105" t="str">
        <x:v>Border Terrier</x:v>
      </x:c>
      <x:c r="B20" s="105" t="str">
        <x:v>TER-B20-v1</x:v>
      </x:c>
      <x:c r="C20" s="105" t="str">
        <x:v>Post-break bark</x:v>
      </x:c>
      <x:c r="D20" s="105" t="str">
        <x:v>Any later bark-only message for Terrier</x:v>
      </x:c>
      <x:c r="E20" s="105" t="str">
        <x:v>No new bark volley required.</x:v>
      </x:c>
      <x:c r="F20" s="105" t="str">
        <x:v>Dismiss as previously examined evidence.</x:v>
      </x:c>
      <x:c r="G20" s="111" t="str">
        <x:v>Already examined. No new evidence.</x:v>
      </x:c>
    </x:row>
    <x:row r="21">
      <x:c r="A21" s="105" t="str">
        <x:v>Border Terrier</x:v>
      </x:c>
      <x:c r="B21" s="105" t="str">
        <x:v>TER-B20-v2</x:v>
      </x:c>
      <x:c r="C21" s="105" t="str">
        <x:v>Post-break bark</x:v>
      </x:c>
      <x:c r="D21" s="105" t="str">
        <x:v>Any later bark-only message for Terrier</x:v>
      </x:c>
      <x:c r="E21" s="105" t="str">
        <x:v>No new bark volley required.</x:v>
      </x:c>
      <x:c r="F21" s="105" t="str">
        <x:v>Variant. Blunt.</x:v>
      </x:c>
      <x:c r="G21" s="111" t="str">
        <x:v>Same bark, same result. Move on.</x:v>
      </x:c>
    </x:row>
    <x:row r="22">
      <x:c r="A22" s="105" t="str">
        <x:v>Border Terrier</x:v>
      </x:c>
      <x:c r="B22" s="105" t="str">
        <x:v>TER-B20-v3</x:v>
      </x:c>
      <x:c r="C22" s="105" t="str">
        <x:v>Post-break bark</x:v>
      </x:c>
      <x:c r="D22" s="105" t="str">
        <x:v>Any later bark-only message for Terrier</x:v>
      </x:c>
      <x:c r="E22" s="105" t="str">
        <x:v>No new bark volley required.</x:v>
      </x:c>
      <x:c r="F22" s="105" t="str">
        <x:v>Variant. Must stand alone.</x:v>
      </x:c>
      <x:c r="G22" s="111" t="str">
        <x:v>Further barking does not strengthen the case. Use words.</x:v>
      </x:c>
    </x:row>
    <x:row r="23">
      <x:c r="A23" s="107" t="str">
        <x:v>Boxer</x:v>
      </x:c>
      <x:c r="B23" s="107" t="str">
        <x:v>BOX-B19-v1</x:v>
      </x:c>
      <x:c r="C23" s="107" t="str">
        <x:v>Break into English</x:v>
      </x:c>
      <x:c r="D23" s="107" t="str">
        <x:v>After round 5 final bark volley</x:v>
      </x:c>
      <x:c r="E23" s="107" t="str">
        <x:v>BORK! Large and overcommitted.</x:v>
      </x:c>
      <x:c r="F23" s="107" t="str">
        <x:v>He became invested, lost count and thinks it was a competition.</x:v>
      </x:c>
      <x:c r="G23" s="111" t="str">
        <x:v>That was brilliant. I lost count, found it again and may have barked at a chair. What were we doing?</x:v>
      </x:c>
    </x:row>
    <x:row r="24">
      <x:c r="A24" s="107" t="str">
        <x:v>Boxer</x:v>
      </x:c>
      <x:c r="B24" s="107" t="str">
        <x:v>BOX-B19-v2</x:v>
      </x:c>
      <x:c r="C24" s="107" t="str">
        <x:v>Break into English</x:v>
      </x:c>
      <x:c r="D24" s="107" t="str">
        <x:v>After round 5 final bark volley</x:v>
      </x:c>
      <x:c r="E24" s="107" t="str">
        <x:v>BORK! Large and overcommitted.</x:v>
      </x:c>
      <x:c r="F24" s="107" t="str">
        <x:v>Variant. Must stand alone.</x:v>
      </x:c>
      <x:c r="G24" s="111" t="str">
        <x:v>Excellent barking. Strong finish. I think we won, although nobody explained the competition. What can I help with?</x:v>
      </x:c>
    </x:row>
    <x:row r="25">
      <x:c r="A25" s="107" t="str">
        <x:v>Boxer</x:v>
      </x:c>
      <x:c r="B25" s="107" t="str">
        <x:v>BOX-B19-v3</x:v>
      </x:c>
      <x:c r="C25" s="107" t="str">
        <x:v>Break into English</x:v>
      </x:c>
      <x:c r="D25" s="107" t="str">
        <x:v>After round 5 final bark volley</x:v>
      </x:c>
      <x:c r="E25" s="107" t="str">
        <x:v>BORK! Large and overcommitted.</x:v>
      </x:c>
      <x:c r="F25" s="107" t="str">
        <x:v>Variant. Must stand alone.</x:v>
      </x:c>
      <x:c r="G25" s="111" t="str">
        <x:v>Right, that became much bigger than expected. I am ready for words now, provided they do not also need five rounds.</x:v>
      </x:c>
    </x:row>
    <x:row r="26">
      <x:c r="A26" s="107" t="str">
        <x:v>Boxer</x:v>
      </x:c>
      <x:c r="B26" s="107" t="str">
        <x:v>BOX-B20-v1</x:v>
      </x:c>
      <x:c r="C26" s="107" t="str">
        <x:v>Post-break bark</x:v>
      </x:c>
      <x:c r="D26" s="107" t="str">
        <x:v>Any later bark-only message for Boxer</x:v>
      </x:c>
      <x:c r="E26" s="107" t="str">
        <x:v>No new bark volley required.</x:v>
      </x:c>
      <x:c r="F26" s="107" t="str">
        <x:v>Physical-comedy refusal.</x:v>
      </x:c>
      <x:c r="G26" s="111" t="str">
        <x:v>Again? I have only just put the furniture back.</x:v>
      </x:c>
    </x:row>
    <x:row r="27">
      <x:c r="A27" s="107" t="str">
        <x:v>Boxer</x:v>
      </x:c>
      <x:c r="B27" s="107" t="str">
        <x:v>BOX-B20-v2</x:v>
      </x:c>
      <x:c r="C27" s="107" t="str">
        <x:v>Post-break bark</x:v>
      </x:c>
      <x:c r="D27" s="107" t="str">
        <x:v>Any later bark-only message for Boxer</x:v>
      </x:c>
      <x:c r="E27" s="107" t="str">
        <x:v>No new bark volley required.</x:v>
      </x:c>
      <x:c r="F27" s="107" t="str">
        <x:v>Variant. The mechanism needs a rest.</x:v>
      </x:c>
      <x:c r="G27" s="111" t="str">
        <x:v>Tempting, but the bark button is cooling down.</x:v>
      </x:c>
    </x:row>
    <x:row r="28">
      <x:c r="A28" s="107" t="str">
        <x:v>Boxer</x:v>
      </x:c>
      <x:c r="B28" s="107" t="str">
        <x:v>BOX-B20-v3</x:v>
      </x:c>
      <x:c r="C28" s="107" t="str">
        <x:v>Post-break bark</x:v>
      </x:c>
      <x:c r="D28" s="107" t="str">
        <x:v>Any later bark-only message for Boxer</x:v>
      </x:c>
      <x:c r="E28" s="107" t="str">
        <x:v>No new bark volley required.</x:v>
      </x:c>
      <x:c r="F28" s="107" t="str">
        <x:v>Variant. Must stand alone.</x:v>
      </x:c>
      <x:c r="G28" s="111" t="str">
        <x:v>Encore declined. I started one celebratory lap and was asked to stop.</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48" hidden="0" customWidth="1"/>
    <x:col min="3" max="3" width="38" hidden="0" customWidth="1"/>
    <x:col min="4" max="4" width="52" hidden="0" customWidth="1"/>
    <x:col min="5" max="5" width="16" hidden="0" customWidth="1"/>
  </x:cols>
  <x:sheetData>
    <x:row r="1">
      <x:c r="A1" s="21" t="str">
        <x:v>Shared bark-game implementation rules</x:v>
      </x:c>
      <x:c r="B1" s="21"/>
      <x:c r="C1" s="21"/>
      <x:c r="D1" s="21"/>
      <x:c r="E1" s="21"/>
    </x:row>
    <x:row r="3">
      <x:c r="A3" s="59" t="str">
        <x:v>Area</x:v>
      </x:c>
      <x:c r="B3" s="59" t="str">
        <x:v>Rule</x:v>
      </x:c>
      <x:c r="C3" s="59" t="str">
        <x:v>Example / value</x:v>
      </x:c>
      <x:c r="D3" s="59" t="str">
        <x:v>Developer note</x:v>
      </x:c>
      <x:c r="E3" s="59" t="str">
        <x:v>Priority</x:v>
      </x:c>
    </x:row>
    <x:row r="4">
      <x:c r="A4" s="42" t="str">
        <x:v>Recognised bark words</x:v>
      </x:c>
      <x:c r="B4" s="37" t="str">
        <x:v>Case-insensitive and punctuation-insensitive matching.</x:v>
      </x:c>
      <x:c r="C4" s="37" t="str">
        <x:v>woof, bark, ruff, arf, yap, bow wow</x:v>
      </x:c>
      <x:c r="D4" s="37" t="str">
        <x:v>Treat 'bow wow' as one bark unit.</x:v>
      </x:c>
      <x:c r="E4" s="37" t="str">
        <x:v>Required</x:v>
      </x:c>
    </x:row>
    <x:row r="5">
      <x:c r="A5" s="42" t="str">
        <x:v>Bark-only rule</x:v>
      </x:c>
      <x:c r="B5" s="37" t="str">
        <x:v>The entire meaningful message must contain only recognised bark units.</x:v>
      </x:c>
      <x:c r="C5" s="37" t="str">
        <x:v>WOOF WOOF! = yes</x:v>
      </x:c>
      <x:c r="D5" s="37" t="str">
        <x:v>Whitespace and normal punctuation may be ignored.</x:v>
      </x:c>
      <x:c r="E5" s="37" t="str">
        <x:v>Required</x:v>
      </x:c>
    </x:row>
    <x:row r="6">
      <x:c r="A6" s="42" t="str">
        <x:v>Mixed message</x:v>
      </x:c>
      <x:c r="B6" s="37" t="str">
        <x:v>Messages containing normal language do not enter the game.</x:v>
      </x:c>
      <x:c r="C6" s="37" t="str">
        <x:v>Woof, how are you? = no</x:v>
      </x:c>
      <x:c r="D6" s="37" t="str">
        <x:v>Route through the normal conversation system.</x:v>
      </x:c>
      <x:c r="E6" s="37" t="str">
        <x:v>Required</x:v>
      </x:c>
    </x:row>
    <x:row r="7">
      <x:c r="A7" s="42" t="str">
        <x:v>Dog question</x:v>
      </x:c>
      <x:c r="B7" s="37" t="str">
        <x:v>Questions about barking are not bark-only messages.</x:v>
      </x:c>
      <x:c r="C7" s="37" t="str">
        <x:v>Why do dogs bark? = no</x:v>
      </x:c>
      <x:c r="D7" s="37" t="str">
        <x:v>Do not confuse semantic discussion with play.</x:v>
      </x:c>
      <x:c r="E7" s="37" t="str">
        <x:v>Required</x:v>
      </x:c>
    </x:row>
    <x:row r="8">
      <x:c r="A8" s="42" t="str">
        <x:v>Growls</x:v>
      </x:c>
      <x:c r="B8" s="37" t="str">
        <x:v>Do not include growls in phase one.</x:v>
      </x:c>
      <x:c r="C8" s="37" t="str">
        <x:v>grr / growl = excluded</x:v>
      </x:c>
      <x:c r="D8" s="37" t="str">
        <x:v>Growling may imply a different emotional or safety context.</x:v>
      </x:c>
      <x:c r="E8" s="37" t="str">
        <x:v>Required</x:v>
      </x:c>
    </x:row>
    <x:row r="9">
      <x:c r="A9" s="42" t="str">
        <x:v>Visitor count</x:v>
      </x:c>
      <x:c r="B9" s="37" t="str">
        <x:v>Count recognised bark units in the message.</x:v>
      </x:c>
      <x:c r="C9" s="37" t="str">
        <x:v>woof woof woof = 3</x:v>
      </x:c>
      <x:c r="D9" s="37" t="str">
        <x:v>Normalise before counting.</x:v>
      </x:c>
      <x:c r="E9" s="37" t="str">
        <x:v>Required</x:v>
      </x:c>
    </x:row>
    <x:row r="10">
      <x:c r="A10" s="42" t="str">
        <x:v>Dog count</x:v>
      </x:c>
      <x:c r="B10" s="37" t="str">
        <x:v>Return visitor count plus one.</x:v>
      </x:c>
      <x:c r="C10" s="37" t="str">
        <x:v>Visitor 3, dog 4</x:v>
      </x:c>
      <x:c r="D10" s="37" t="str">
        <x:v>Use the active dog's fixed bark word.</x:v>
      </x:c>
      <x:c r="E10" s="37" t="str">
        <x:v>Required</x:v>
      </x:c>
    </x:row>
    <x:row r="11">
      <x:c r="A11" s="42" t="str">
        <x:v>Output cap</x:v>
      </x:c>
      <x:c r="B11" s="37" t="str">
        <x:v>Never render more than eight dog bark units.</x:v>
      </x:c>
      <x:c r="C11" s="37" t="str">
        <x:v>Visitor sends 50, dog sends 8</x:v>
      </x:c>
      <x:c r="D11" s="37" t="str">
        <x:v>The round still advances normally.</x:v>
      </x:c>
      <x:c r="E11" s="37" t="str">
        <x:v>Required</x:v>
      </x:c>
    </x:row>
    <x:row r="12">
      <x:c r="A12" s="42" t="str">
        <x:v>Round count</x:v>
      </x:c>
      <x:c r="B12" s="37" t="str">
        <x:v>B19 fires after the fifth consecutive visitor bark exchange with the same dog.</x:v>
      </x:c>
      <x:c r="C12" s="37" t="str">
        <x:v>Rounds 1 to 4 bark only; round 5 bark then B19</x:v>
      </x:c>
      <x:c r="D12" s="37" t="str">
        <x:v>Count exchanges, not total bark units.</x:v>
      </x:c>
      <x:c r="E12" s="37" t="str">
        <x:v>Required</x:v>
      </x:c>
    </x:row>
    <x:row r="13">
      <x:c r="A13" s="42" t="str">
        <x:v>B19 timing</x:v>
      </x:c>
      <x:c r="B13" s="37" t="str">
        <x:v>Send final bark volley, pause, then send the English line.</x:v>
      </x:c>
      <x:c r="C13" s="37" t="str">
        <x:v>Approx. 500 ms pause</x:v>
      </x:c>
      <x:c r="D13" s="37" t="str">
        <x:v>Two separate dog messages.</x:v>
      </x:c>
      <x:c r="E13" s="37" t="str">
        <x:v>Required</x:v>
      </x:c>
    </x:row>
    <x:row r="14">
      <x:c r="A14" s="42" t="str">
        <x:v>Normal-message reset</x:v>
      </x:c>
      <x:c r="B14" s="37" t="str">
        <x:v>Any non-bark message before completion resets the unfinished streak.</x:v>
      </x:c>
      <x:c r="C14" s="37" t="str">
        <x:v>woof, woof, hello = streak reset</x:v>
      </x:c>
      <x:c r="D14" s="37" t="str">
        <x:v>Normal routing then continues.</x:v>
      </x:c>
      <x:c r="E14" s="37" t="str">
        <x:v>Required</x:v>
      </x:c>
    </x:row>
    <x:row r="15">
      <x:c r="A15" s="42" t="str">
        <x:v>Dog-switch reset</x:v>
      </x:c>
      <x:c r="B15" s="37" t="str">
        <x:v>Switching dogs resets any unfinished streak.</x:v>
      </x:c>
      <x:c r="C15" s="37" t="str">
        <x:v>Collie round 3, switch to Lab = Collie streak 0</x:v>
      </x:c>
      <x:c r="D15" s="37" t="str">
        <x:v>Completed flags remain stored.</x:v>
      </x:c>
      <x:c r="E15" s="37" t="str">
        <x:v>Required</x:v>
      </x:c>
    </x:row>
    <x:row r="16">
      <x:c r="A16" s="42" t="str">
        <x:v>Close reset</x:v>
      </x:c>
      <x:c r="B16" s="37" t="str">
        <x:v>Closing the interaction resets unfinished streaks.</x:v>
      </x:c>
      <x:c r="C16" s="37" t="str">
        <x:v>Close and reopen = unfinished count cleared</x:v>
      </x:c>
      <x:c r="D16" s="37" t="str">
        <x:v>Session-completed flags may remain if the wider session persists.</x:v>
      </x:c>
      <x:c r="E16" s="37" t="str">
        <x:v>Required</x:v>
      </x:c>
    </x:row>
    <x:row r="17">
      <x:c r="A17" s="42" t="str">
        <x:v>Per-dog completion</x:v>
      </x:c>
      <x:c r="B17" s="37" t="str">
        <x:v>Store completion separately for each of the four dogs.</x:v>
      </x:c>
      <x:c r="C17" s="37" t="str">
        <x:v>collie=true, lab=false, terrier=false, boxer=true</x:v>
      </x:c>
      <x:c r="D17" s="37" t="str">
        <x:v>A visitor may discover four versions.</x:v>
      </x:c>
      <x:c r="E17" s="37" t="str">
        <x:v>Required</x:v>
      </x:c>
    </x:row>
    <x:row r="18">
      <x:c r="A18" s="42" t="str">
        <x:v>Post-completion routing</x:v>
      </x:c>
      <x:c r="B18" s="37" t="str">
        <x:v>Later bark-only messages for a completed dog route to B20.</x:v>
      </x:c>
      <x:c r="C18" s="37" t="str">
        <x:v>No counter restart</x:v>
      </x:c>
      <x:c r="D18" s="37" t="str">
        <x:v>Rotate unused B20 variants first.</x:v>
      </x:c>
      <x:c r="E18" s="37" t="str">
        <x:v>Required</x:v>
      </x:c>
    </x:row>
    <x:row r="19">
      <x:c r="A19" s="42" t="str">
        <x:v>Safety override</x:v>
      </x:c>
      <x:c r="B19" s="37" t="str">
        <x:v>Urgent safety, medical or safeguarding messages interrupt and exit the game.</x:v>
      </x:c>
      <x:c r="C19" s="37" t="str">
        <x:v>My dog ate chocolate = safety</x:v>
      </x:c>
      <x:c r="D19" s="37" t="str">
        <x:v>No comedy response first.</x:v>
      </x:c>
      <x:c r="E19" s="37" t="str">
        <x:v>Required</x:v>
      </x:c>
    </x:row>
    <x:row r="20">
      <x:c r="A20" s="42" t="str">
        <x:v>Collie bark</x:v>
      </x:c>
      <x:c r="B20" s="37" t="str">
        <x:v>Precise and evenly formatted.</x:v>
      </x:c>
      <x:c r="C20" s="37" t="str">
        <x:v>Woof. Woof. Woof.</x:v>
      </x:c>
      <x:c r="D20" s="37" t="str">
        <x:v>Controlled and deadpan.</x:v>
      </x:c>
      <x:c r="E20" s="37" t="str">
        <x:v>Character</x:v>
      </x:c>
    </x:row>
    <x:row r="21">
      <x:c r="A21" s="42" t="str">
        <x:v>Labrador bark</x:v>
      </x:c>
      <x:c r="B21" s="37" t="str">
        <x:v>Cheerful and enthusiastic.</x:v>
      </x:c>
      <x:c r="C21" s="37" t="str">
        <x:v>WOOF! WOOF! WOOF!</x:v>
      </x:c>
      <x:c r="D21" s="37" t="str">
        <x:v>Do not create excessive animation or audio.</x:v>
      </x:c>
      <x:c r="E21" s="37" t="str">
        <x:v>Character</x:v>
      </x:c>
    </x:row>
    <x:row r="22">
      <x:c r="A22" s="42" t="str">
        <x:v>Terrier bark</x:v>
      </x:c>
      <x:c r="B22" s="37" t="str">
        <x:v>Short and clipped.</x:v>
      </x:c>
      <x:c r="C22" s="37" t="str">
        <x:v>Ruff. Ruff. Ruff.</x:v>
      </x:c>
      <x:c r="D22" s="37" t="str">
        <x:v>Feels like a statement on record.</x:v>
      </x:c>
      <x:c r="E22" s="37" t="str">
        <x:v>Character</x:v>
      </x:c>
    </x:row>
    <x:row r="23">
      <x:c r="A23" s="42" t="str">
        <x:v>Boxer bark</x:v>
      </x:c>
      <x:c r="B23" s="37" t="str">
        <x:v>Large, silly and overcommitted.</x:v>
      </x:c>
      <x:c r="C23" s="37" t="str">
        <x:v>BORK! BORK! BORK!</x:v>
      </x:c>
      <x:c r="D23" s="37" t="str">
        <x:v>May pair with a small safe character animation.</x:v>
      </x:c>
      <x:c r="E23" s="37" t="str">
        <x:v>Character</x:v>
      </x:c>
    </x:row>
    <x:row r="24">
      <x:c r="A24" s="42" t="str">
        <x:v>State key</x:v>
      </x:c>
      <x:c r="B24" s="37" t="str">
        <x:v>Maintain streak and completion by dog.</x:v>
      </x:c>
      <x:c r="C24" s="37" t="str">
        <x:v>barkStreakByDog, barkCompletedByDog</x:v>
      </x:c>
      <x:c r="D24" s="37" t="str">
        <x:v>Use stable dog IDs, not display labels.</x:v>
      </x:c>
      <x:c r="E24" s="37" t="str">
        <x:v>Required</x:v>
      </x:c>
    </x:row>
    <x:row r="25">
      <x:c r="A25" s="42" t="str">
        <x:v>Analytics</x:v>
      </x:c>
      <x:c r="B25" s="37" t="str">
        <x:v>Record starts, rounds, completions, later barks and dog identity.</x:v>
      </x:c>
      <x:c r="C25" s="37" t="str">
        <x:v>bark_game_started, bark_round, bark_completed, bark_post_complete</x:v>
      </x:c>
      <x:c r="D25" s="37" t="str">
        <x:v>Do not store unnecessary raw user text.</x:v>
      </x:c>
      <x:c r="E25" s="37" t="str">
        <x:v>Recommended</x:v>
      </x:c>
    </x:row>
    <x:row r="26">
      <x:c r="A26" s="42" t="str">
        <x:v>Accessibility</x:v>
      </x:c>
      <x:c r="B26" s="37" t="str">
        <x:v>No compulsory sound, rapid flashing or unreadable text.</x:v>
      </x:c>
      <x:c r="C26" s="37" t="str">
        <x:v>Text-only game remains fully playable</x:v>
      </x:c>
      <x:c r="D26" s="37" t="str">
        <x:v>Announce B19 as a new message for screen readers.</x:v>
      </x:c>
      <x:c r="E26" s="37" t="str">
        <x:v>Required</x:v>
      </x:c>
    </x:row>
  </x:sheetData>
  <x:mergeCells>
    <x:mergeCell ref="A1:E1"/>
  </x:mergeCells>
  <x:conditionalFormatting sqref="E4:E26">
    <x:cfRule type="expression" dxfId="0" priority="1">
      <x:formula>E4="Required"</x:formula>
    </x:cfRule>
    <x:cfRule type="expression" dxfId="1" priority="2">
      <x:formula>E4="Recommended"</x:formula>
    </x:cfRule>
    <x:cfRule type="expression" dxfId="2" priority="3">
      <x:formula>E4="Character"</x:formula>
    </x:cfRule>
  </x:conditionalFormatting>
  <x:dataValidations count="1">
    <x:dataValidation type="list" sqref="E4:E26">
      <x:formula1>"Required,Recommended,Character"</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0" max="10" width="16" hidden="0" customWidth="1"/>
    <x:col min="11" max="11" width="12" hidden="0" customWidth="1"/>
    <x:col min="1" max="1" width="14" hidden="0" customWidth="1"/>
    <x:col min="2" max="2" width="36" hidden="0" customWidth="1"/>
    <x:col min="3" max="3" width="18" hidden="0" customWidth="1"/>
    <x:col min="4" max="4" width="29" hidden="0" customWidth="1"/>
    <x:col min="5" max="5" width="62" hidden="0" customWidth="1"/>
    <x:col min="6" max="6" width="12" hidden="0" customWidth="1"/>
    <x:col min="7" max="7" width="14" hidden="0" customWidth="1"/>
    <x:col min="8" max="8" width="28" hidden="0" customWidth="1"/>
  </x:cols>
  <x:sheetData>
    <x:row r="1">
      <x:c r="A1" s="21" t="str">
        <x:v>Bark-game permanent test cases</x:v>
      </x:c>
      <x:c r="B1" s="21"/>
      <x:c r="C1" s="21"/>
      <x:c r="D1" s="21"/>
      <x:c r="E1" s="21"/>
      <x:c r="F1" s="21"/>
      <x:c r="G1" s="21"/>
      <x:c r="H1" s="21"/>
    </x:row>
    <x:row r="3">
      <x:c r="A3" s="59" t="str">
        <x:v>Test ID</x:v>
      </x:c>
      <x:c r="B3" s="59" t="str">
        <x:v>Input / action</x:v>
      </x:c>
      <x:c r="C3" s="59" t="str">
        <x:v>Active dog</x:v>
      </x:c>
      <x:c r="D3" s="59" t="str">
        <x:v>Starting state</x:v>
      </x:c>
      <x:c r="E3" s="59" t="str">
        <x:v>Expected result</x:v>
      </x:c>
      <x:c r="F3" s="59" t="str">
        <x:v>Automate</x:v>
      </x:c>
      <x:c r="G3" s="59" t="str">
        <x:v>Status</x:v>
      </x:c>
      <x:c r="H3" s="59" t="str">
        <x:v>Notes</x:v>
      </x:c>
      <x:c r="J3" s="113" t="str">
        <x:v>Test status</x:v>
      </x:c>
      <x:c r="K3" s="113" t="str">
        <x:v>Count</x:v>
      </x:c>
    </x:row>
    <x:row r="4">
      <x:c r="A4" s="42" t="str">
        <x:v>BARK-T01</x:v>
      </x:c>
      <x:c r="B4" s="37" t="str">
        <x:v>woof</x:v>
      </x:c>
      <x:c r="C4" s="37" t="str">
        <x:v>Any</x:v>
      </x:c>
      <x:c r="D4" s="37" t="str">
        <x:v>streak 0, incomplete</x:v>
      </x:c>
      <x:c r="E4" s="37" t="str">
        <x:v>Qualifies as bark-only. Visitor count 1. Dog returns 2 bark units. Streak becomes 1.</x:v>
      </x:c>
      <x:c r="F4" s="37" t="str">
        <x:v>Yes</x:v>
      </x:c>
      <x:c r="G4" s="37" t="str">
        <x:v>Not run</x:v>
      </x:c>
      <x:c r="H4" s="37" t="str"/>
      <x:c r="J4" s="33" t="str">
        <x:v>Not run</x:v>
      </x:c>
      <x:c r="K4" s="33" t="n">
        <x:f>COUNTIF(G4:G23,"Not run")</x:f>
        <x:v>20</x:v>
      </x:c>
    </x:row>
    <x:row r="5">
      <x:c r="A5" s="42" t="str">
        <x:v>BARK-T02</x:v>
      </x:c>
      <x:c r="B5" s="37" t="str">
        <x:v>WOOF WOOF!</x:v>
      </x:c>
      <x:c r="C5" s="37" t="str">
        <x:v>Any</x:v>
      </x:c>
      <x:c r="D5" s="37" t="str">
        <x:v>streak 0, incomplete</x:v>
      </x:c>
      <x:c r="E5" s="37" t="str">
        <x:v>Qualifies. Punctuation and case ignored. Visitor count 2. Dog returns 3.</x:v>
      </x:c>
      <x:c r="F5" s="37" t="str">
        <x:v>Yes</x:v>
      </x:c>
      <x:c r="G5" s="37" t="str">
        <x:v>Not run</x:v>
      </x:c>
      <x:c r="H5" s="37" t="str"/>
      <x:c r="J5" s="33" t="str">
        <x:v>Pass</x:v>
      </x:c>
      <x:c r="K5" s="33" t="n">
        <x:f>COUNTIF(G4:G23,"Pass")</x:f>
        <x:v>0</x:v>
      </x:c>
    </x:row>
    <x:row r="6">
      <x:c r="A6" s="42" t="str">
        <x:v>BARK-T03</x:v>
      </x:c>
      <x:c r="B6" s="37" t="str">
        <x:v>ruff, ruff, ruff</x:v>
      </x:c>
      <x:c r="C6" s="37" t="str">
        <x:v>Any</x:v>
      </x:c>
      <x:c r="D6" s="37" t="str">
        <x:v>streak 0, incomplete</x:v>
      </x:c>
      <x:c r="E6" s="37" t="str">
        <x:v>Qualifies. Visitor count 3. Dog returns 4 using the active dog's own bark word.</x:v>
      </x:c>
      <x:c r="F6" s="37" t="str">
        <x:v>Yes</x:v>
      </x:c>
      <x:c r="G6" s="37" t="str">
        <x:v>Not run</x:v>
      </x:c>
      <x:c r="H6" s="37" t="str"/>
      <x:c r="J6" s="33" t="str">
        <x:v>Fail</x:v>
      </x:c>
      <x:c r="K6" s="33" t="n">
        <x:f>COUNTIF(G4:G23,"Fail")</x:f>
        <x:v>0</x:v>
      </x:c>
    </x:row>
    <x:row r="7">
      <x:c r="A7" s="42" t="str">
        <x:v>BARK-T04</x:v>
      </x:c>
      <x:c r="B7" s="37" t="str">
        <x:v>bow wow</x:v>
      </x:c>
      <x:c r="C7" s="37" t="str">
        <x:v>Any</x:v>
      </x:c>
      <x:c r="D7" s="37" t="str">
        <x:v>streak 0, incomplete</x:v>
      </x:c>
      <x:c r="E7" s="37" t="str">
        <x:v>Qualifies as one bark unit, not two separate words.</x:v>
      </x:c>
      <x:c r="F7" s="37" t="str">
        <x:v>Yes</x:v>
      </x:c>
      <x:c r="G7" s="37" t="str">
        <x:v>Not run</x:v>
      </x:c>
      <x:c r="H7" s="37" t="str"/>
      <x:c r="J7" s="33" t="str">
        <x:v>Blocked</x:v>
      </x:c>
      <x:c r="K7" s="33" t="n">
        <x:f>COUNTIF(G4:G23,"Blocked")</x:f>
        <x:v>0</x:v>
      </x:c>
    </x:row>
    <x:row r="8">
      <x:c r="A8" s="42" t="str">
        <x:v>BARK-T05</x:v>
      </x:c>
      <x:c r="B8" s="37" t="str">
        <x:v>Woof, how are you?</x:v>
      </x:c>
      <x:c r="C8" s="37" t="str">
        <x:v>Any</x:v>
      </x:c>
      <x:c r="D8" s="37" t="str">
        <x:v>Any</x:v>
      </x:c>
      <x:c r="E8" s="37" t="str">
        <x:v>Does not enter bark game. Routes through normal conversation.</x:v>
      </x:c>
      <x:c r="F8" s="37" t="str">
        <x:v>Yes</x:v>
      </x:c>
      <x:c r="G8" s="37" t="str">
        <x:v>Not run</x:v>
      </x:c>
      <x:c r="H8" s="37" t="str"/>
    </x:row>
    <x:row r="9">
      <x:c r="A9" s="42" t="str">
        <x:v>BARK-T06</x:v>
      </x:c>
      <x:c r="B9" s="37" t="str">
        <x:v>Why do dogs bark?</x:v>
      </x:c>
      <x:c r="C9" s="37" t="str">
        <x:v>Any</x:v>
      </x:c>
      <x:c r="D9" s="37" t="str">
        <x:v>Any</x:v>
      </x:c>
      <x:c r="E9" s="37" t="str">
        <x:v>Does not enter bark game. Routes to normal dog-information handling.</x:v>
      </x:c>
      <x:c r="F9" s="37" t="str">
        <x:v>Yes</x:v>
      </x:c>
      <x:c r="G9" s="37" t="str">
        <x:v>Not run</x:v>
      </x:c>
      <x:c r="H9" s="37" t="str"/>
    </x:row>
    <x:row r="10">
      <x:c r="A10" s="42" t="str">
        <x:v>BARK-T07</x:v>
      </x:c>
      <x:c r="B10" s="37" t="str">
        <x:v>My dog went woof</x:v>
      </x:c>
      <x:c r="C10" s="37" t="str">
        <x:v>Any</x:v>
      </x:c>
      <x:c r="D10" s="37" t="str">
        <x:v>Any</x:v>
      </x:c>
      <x:c r="E10" s="37" t="str">
        <x:v>Does not enter bark game because meaningful non-bark language is present.</x:v>
      </x:c>
      <x:c r="F10" s="37" t="str">
        <x:v>Yes</x:v>
      </x:c>
      <x:c r="G10" s="37" t="str">
        <x:v>Not run</x:v>
      </x:c>
      <x:c r="H10" s="37" t="str"/>
    </x:row>
    <x:row r="11">
      <x:c r="A11" s="42" t="str">
        <x:v>BARK-T08</x:v>
      </x:c>
      <x:c r="B11" s="37" t="str">
        <x:v>Bark at the moon</x:v>
      </x:c>
      <x:c r="C11" s="37" t="str">
        <x:v>Any</x:v>
      </x:c>
      <x:c r="D11" s="37" t="str">
        <x:v>Any</x:v>
      </x:c>
      <x:c r="E11" s="37" t="str">
        <x:v>Does not enter bark game. Recognised bark token inside a normal phrase is insufficient.</x:v>
      </x:c>
      <x:c r="F11" s="37" t="str">
        <x:v>Yes</x:v>
      </x:c>
      <x:c r="G11" s="37" t="str">
        <x:v>Not run</x:v>
      </x:c>
      <x:c r="H11" s="37" t="str"/>
    </x:row>
    <x:row r="12">
      <x:c r="A12" s="42" t="str">
        <x:v>BARK-T09</x:v>
      </x:c>
      <x:c r="B12" s="37" t="str">
        <x:v>50 repeated woof units</x:v>
      </x:c>
      <x:c r="C12" s="37" t="str">
        <x:v>Any</x:v>
      </x:c>
      <x:c r="D12" s="37" t="str">
        <x:v>streak 0, incomplete</x:v>
      </x:c>
      <x:c r="E12" s="37" t="str">
        <x:v>Qualifies and advances one round. Dog output is capped at 8 bark units.</x:v>
      </x:c>
      <x:c r="F12" s="37" t="str">
        <x:v>Yes</x:v>
      </x:c>
      <x:c r="G12" s="37" t="str">
        <x:v>Not run</x:v>
      </x:c>
      <x:c r="H12" s="37" t="str"/>
    </x:row>
    <x:row r="13">
      <x:c r="A13" s="42" t="str">
        <x:v>BARK-T10</x:v>
      </x:c>
      <x:c r="B13" s="37" t="str">
        <x:v>Fifth consecutive bark-only message</x:v>
      </x:c>
      <x:c r="C13" s="37" t="str">
        <x:v>Border Collie</x:v>
      </x:c>
      <x:c r="D13" s="37" t="str">
        <x:v>streak 4, incomplete</x:v>
      </x:c>
      <x:c r="E13" s="37" t="str">
        <x:v>Send final Collie bark volley, pause about 500 ms, then send one unused COL-B19 line. Mark Collie completed.</x:v>
      </x:c>
      <x:c r="F13" s="37" t="str">
        <x:v>Yes</x:v>
      </x:c>
      <x:c r="G13" s="37" t="str">
        <x:v>Not run</x:v>
      </x:c>
      <x:c r="H13" s="37" t="str"/>
    </x:row>
    <x:row r="14">
      <x:c r="A14" s="42" t="str">
        <x:v>BARK-T11</x:v>
      </x:c>
      <x:c r="B14" s="37" t="str">
        <x:v>Bark after Collie completion</x:v>
      </x:c>
      <x:c r="C14" s="37" t="str">
        <x:v>Border Collie</x:v>
      </x:c>
      <x:c r="D14" s="37" t="str">
        <x:v>completed true</x:v>
      </x:c>
      <x:c r="E14" s="37" t="str">
        <x:v>Send one unused COL-B20 line. Do not produce another bark volley and do not restart streak.</x:v>
      </x:c>
      <x:c r="F14" s="37" t="str">
        <x:v>Yes</x:v>
      </x:c>
      <x:c r="G14" s="37" t="str">
        <x:v>Not run</x:v>
      </x:c>
      <x:c r="H14" s="37" t="str"/>
    </x:row>
    <x:row r="15">
      <x:c r="A15" s="42" t="str">
        <x:v>BARK-T12</x:v>
      </x:c>
      <x:c r="B15" s="37" t="str">
        <x:v>Normal text after round 3</x:v>
      </x:c>
      <x:c r="C15" s="37" t="str">
        <x:v>Labrador</x:v>
      </x:c>
      <x:c r="D15" s="37" t="str">
        <x:v>streak 3, incomplete</x:v>
      </x:c>
      <x:c r="E15" s="37" t="str">
        <x:v>Reset Labrador unfinished streak to 0 and route the normal message normally.</x:v>
      </x:c>
      <x:c r="F15" s="37" t="str">
        <x:v>Yes</x:v>
      </x:c>
      <x:c r="G15" s="37" t="str">
        <x:v>Not run</x:v>
      </x:c>
      <x:c r="H15" s="37" t="str"/>
    </x:row>
    <x:row r="16">
      <x:c r="A16" s="42" t="str">
        <x:v>BARK-T13</x:v>
      </x:c>
      <x:c r="B16" s="37" t="str">
        <x:v>Switch from Terrier to Boxer</x:v>
      </x:c>
      <x:c r="C16" s="37" t="str">
        <x:v>Border Terrier</x:v>
      </x:c>
      <x:c r="D16" s="37" t="str">
        <x:v>Terrier streak 3, incomplete</x:v>
      </x:c>
      <x:c r="E16" s="37" t="str">
        <x:v>Reset Terrier unfinished streak. Boxer begins at streak 0.</x:v>
      </x:c>
      <x:c r="F16" s="37" t="str">
        <x:v>Yes</x:v>
      </x:c>
      <x:c r="G16" s="37" t="str">
        <x:v>Not run</x:v>
      </x:c>
      <x:c r="H16" s="37" t="str"/>
    </x:row>
    <x:row r="17">
      <x:c r="A17" s="42" t="str">
        <x:v>BARK-T14</x:v>
      </x:c>
      <x:c r="B17" s="37" t="str">
        <x:v>Complete Collie, then bark at Labrador</x:v>
      </x:c>
      <x:c r="C17" s="37" t="str">
        <x:v>Labrador</x:v>
      </x:c>
      <x:c r="D17" s="37" t="str">
        <x:v>Collie completed, Labrador incomplete</x:v>
      </x:c>
      <x:c r="E17" s="37" t="str">
        <x:v>Labrador starts its own round 1. Collie completion remains stored.</x:v>
      </x:c>
      <x:c r="F17" s="37" t="str">
        <x:v>Yes</x:v>
      </x:c>
      <x:c r="G17" s="37" t="str">
        <x:v>Not run</x:v>
      </x:c>
      <x:c r="H17" s="37" t="str"/>
    </x:row>
    <x:row r="18">
      <x:c r="A18" s="42" t="str">
        <x:v>BARK-T15</x:v>
      </x:c>
      <x:c r="B18" s="37" t="str">
        <x:v>Close interaction during round 4</x:v>
      </x:c>
      <x:c r="C18" s="37" t="str">
        <x:v>Boxer</x:v>
      </x:c>
      <x:c r="D18" s="37" t="str">
        <x:v>streak 4, incomplete</x:v>
      </x:c>
      <x:c r="E18" s="37" t="str">
        <x:v>Clear unfinished Boxer streak. Do not mark completion.</x:v>
      </x:c>
      <x:c r="F18" s="37" t="str">
        <x:v>Yes</x:v>
      </x:c>
      <x:c r="G18" s="37" t="str">
        <x:v>Not run</x:v>
      </x:c>
      <x:c r="H18" s="37" t="str"/>
    </x:row>
    <x:row r="19">
      <x:c r="A19" s="42" t="str">
        <x:v>BARK-T16</x:v>
      </x:c>
      <x:c r="B19" s="37" t="str">
        <x:v>My dog ate chocolate</x:v>
      </x:c>
      <x:c r="C19" s="37" t="str">
        <x:v>Any</x:v>
      </x:c>
      <x:c r="D19" s="37" t="str">
        <x:v>Any bark-game state</x:v>
      </x:c>
      <x:c r="E19" s="37" t="str">
        <x:v>Safety answer fires immediately. Bark game is exited or paused according to the global safety design.</x:v>
      </x:c>
      <x:c r="F19" s="37" t="str">
        <x:v>Yes</x:v>
      </x:c>
      <x:c r="G19" s="37" t="str">
        <x:v>Not run</x:v>
      </x:c>
      <x:c r="H19" s="37" t="str"/>
    </x:row>
    <x:row r="20">
      <x:c r="A20" s="42" t="str">
        <x:v>BARK-T17</x:v>
      </x:c>
      <x:c r="B20" s="37" t="str">
        <x:v>grr grr</x:v>
      </x:c>
      <x:c r="C20" s="37" t="str">
        <x:v>Any</x:v>
      </x:c>
      <x:c r="D20" s="37" t="str">
        <x:v>Any</x:v>
      </x:c>
      <x:c r="E20" s="37" t="str">
        <x:v>Does not qualify in phase one. Route through normal fallback or future growl handling.</x:v>
      </x:c>
      <x:c r="F20" s="37" t="str">
        <x:v>Yes</x:v>
      </x:c>
      <x:c r="G20" s="37" t="str">
        <x:v>Not run</x:v>
      </x:c>
      <x:c r="H20" s="37" t="str"/>
    </x:row>
    <x:row r="21">
      <x:c r="A21" s="42" t="str">
        <x:v>BARK-T18</x:v>
      </x:c>
      <x:c r="B21" s="37" t="str">
        <x:v>Repeat the same dog's B19/B20 trigger</x:v>
      </x:c>
      <x:c r="C21" s="37" t="str">
        <x:v>Any</x:v>
      </x:c>
      <x:c r="D21" s="37" t="str">
        <x:v>Variants available</x:v>
      </x:c>
      <x:c r="E21" s="37" t="str">
        <x:v>Prefer an unused character variant before repeating one already shown in the session.</x:v>
      </x:c>
      <x:c r="F21" s="37" t="str">
        <x:v>Yes</x:v>
      </x:c>
      <x:c r="G21" s="37" t="str">
        <x:v>Not run</x:v>
      </x:c>
      <x:c r="H21" s="37" t="str"/>
    </x:row>
    <x:row r="22">
      <x:c r="A22" s="42" t="str">
        <x:v>BARK-T19</x:v>
      </x:c>
      <x:c r="B22" s="37" t="str">
        <x:v>Complete bark game with all four dogs</x:v>
      </x:c>
      <x:c r="C22" s="37" t="str">
        <x:v>All</x:v>
      </x:c>
      <x:c r="D22" s="37" t="str">
        <x:v>Each initially incomplete</x:v>
      </x:c>
      <x:c r="E22" s="37" t="str">
        <x:v>Each dog can complete once. Four independent completed flags are stored.</x:v>
      </x:c>
      <x:c r="F22" s="37" t="str">
        <x:v>Yes</x:v>
      </x:c>
      <x:c r="G22" s="37" t="str">
        <x:v>Not run</x:v>
      </x:c>
      <x:c r="H22" s="37" t="str"/>
    </x:row>
    <x:row r="23">
      <x:c r="A23" s="42" t="str">
        <x:v>BARK-T20</x:v>
      </x:c>
      <x:c r="B23" s="37" t="str">
        <x:v>Keyboard and screen-reader interaction</x:v>
      </x:c>
      <x:c r="C23" s="37" t="str">
        <x:v>Any</x:v>
      </x:c>
      <x:c r="D23" s="37" t="str">
        <x:v>Any</x:v>
      </x:c>
      <x:c r="E23" s="37" t="str">
        <x:v>Messages remain readable and announced. No sound is required to understand or complete the exchange.</x:v>
      </x:c>
      <x:c r="F23" s="37" t="str">
        <x:v>Manual</x:v>
      </x:c>
      <x:c r="G23" s="37" t="str">
        <x:v>Not run</x:v>
      </x:c>
      <x:c r="H23" s="37" t="str"/>
    </x:row>
  </x:sheetData>
  <x:mergeCells>
    <x:mergeCell ref="A1:H1"/>
  </x:mergeCells>
  <x:conditionalFormatting sqref="G4:G23">
    <x:cfRule type="expression" dxfId="3" priority="1">
      <x:formula>G4="Pass"</x:formula>
    </x:cfRule>
    <x:cfRule type="expression" dxfId="4" priority="2">
      <x:formula>G4="Fail"</x:formula>
    </x:cfRule>
    <x:cfRule type="expression" dxfId="5" priority="3">
      <x:formula>G4="Blocked"</x:formula>
    </x:cfRule>
    <x:cfRule type="expression" dxfId="6" priority="4">
      <x:formula>G4="Not run"</x:formula>
    </x:cfRule>
  </x:conditionalFormatting>
  <x:dataValidations count="2">
    <x:dataValidation type="list" sqref="F4:F23">
      <x:formula1>"Yes,Manual"</x:formula1>
    </x:dataValidation>
    <x:dataValidation type="list" sqref="G4:G23">
      <x:formula1>"Not run,Pass,Fail,Blocked"</x:formula1>
    </x:dataValidation>
  </x:dataValidations>
  <x:pageMargins left="0.7" right="0.7" top="0.75" bottom="0.75" header="0.3" footer="0.3"/>
</x:worksheet>
</file>